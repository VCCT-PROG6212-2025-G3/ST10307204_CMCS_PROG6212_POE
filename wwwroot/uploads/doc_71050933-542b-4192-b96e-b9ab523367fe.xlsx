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Ambiente de Trabalho\"/>
    </mc:Choice>
  </mc:AlternateContent>
  <xr:revisionPtr revIDLastSave="0" documentId="13_ncr:1_{21A2C855-2480-466D-B410-44079295B29E}" xr6:coauthVersionLast="47" xr6:coauthVersionMax="47" xr10:uidLastSave="{00000000-0000-0000-0000-000000000000}"/>
  <bookViews>
    <workbookView xWindow="-108" yWindow="-108" windowWidth="23256" windowHeight="12456" xr2:uid="{A53D81F7-F95C-44B4-A73D-22D07F20F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7" i="1" s="1"/>
  <c r="B16" i="1"/>
  <c r="B17" i="1"/>
  <c r="R16" i="1"/>
  <c r="R17" i="1" s="1"/>
  <c r="D16" i="1"/>
  <c r="E16" i="1"/>
  <c r="E17" i="1" s="1"/>
  <c r="G16" i="1"/>
  <c r="G17" i="1" s="1"/>
  <c r="H16" i="1"/>
  <c r="H17" i="1" s="1"/>
  <c r="I16" i="1"/>
  <c r="I17" i="1" s="1"/>
  <c r="J16" i="1"/>
  <c r="J17" i="1" s="1"/>
  <c r="K16" i="1"/>
  <c r="K17" i="1" s="1"/>
  <c r="L16" i="1"/>
  <c r="L17" i="1" s="1"/>
  <c r="M16" i="1"/>
  <c r="M17" i="1" s="1"/>
  <c r="N16" i="1"/>
  <c r="N17" i="1" s="1"/>
  <c r="O16" i="1"/>
  <c r="O17" i="1" s="1"/>
  <c r="P16" i="1"/>
  <c r="P17" i="1" s="1"/>
  <c r="Q16" i="1"/>
  <c r="Q17" i="1" s="1"/>
  <c r="C16" i="1"/>
  <c r="C17" i="1" s="1"/>
  <c r="S16" i="1" l="1"/>
  <c r="D17" i="1"/>
  <c r="S17" i="1" s="1"/>
</calcChain>
</file>

<file path=xl/sharedStrings.xml><?xml version="1.0" encoding="utf-8"?>
<sst xmlns="http://schemas.openxmlformats.org/spreadsheetml/2006/main" count="20" uniqueCount="16">
  <si>
    <t>Universidade</t>
  </si>
  <si>
    <t>Compra Online</t>
  </si>
  <si>
    <t>Taxa de levantamento</t>
  </si>
  <si>
    <t>Total em MZN</t>
  </si>
  <si>
    <t>Total em R</t>
  </si>
  <si>
    <t>Wi-Fi</t>
  </si>
  <si>
    <t>Apartamento</t>
  </si>
  <si>
    <t>TOTAL</t>
  </si>
  <si>
    <t>Mesada/Despesas da casa</t>
  </si>
  <si>
    <t>Dividas passadas</t>
  </si>
  <si>
    <t>Medicamentos</t>
  </si>
  <si>
    <t>Dimheiro para YAYA</t>
  </si>
  <si>
    <t>Bilhete (uber incluso)</t>
  </si>
  <si>
    <t>Consulta No GP</t>
  </si>
  <si>
    <t>Taxa de Levantamento</t>
  </si>
  <si>
    <t>compras para viagem de vovo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</si>
</sst>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1" fillId="3" borderId="0" applyNumberFormat="0" applyBorder="0" applyAlignment="0" applyProtection="0"/>
  </cellStyleXfs>
  <cellXfs count="11">
    <xf numFmtId="0" fontId="0" fillId="0" borderId="0" xfId="0"/>
    <xf numFmtId="0" fontId="2" fillId="0" borderId="1" xfId="1"/>
    <xf numFmtId="164" fontId="3" fillId="2" borderId="2" xfId="2" applyNumberFormat="1"/>
    <xf numFmtId="0" fontId="3" fillId="2" borderId="2" xfId="2"/>
    <xf numFmtId="2" fontId="3" fillId="2" borderId="2" xfId="2" applyNumberFormat="1"/>
    <xf numFmtId="0" fontId="1" fillId="3" borderId="0" xfId="3"/>
    <xf numFmtId="0" fontId="1" fillId="3" borderId="1" xfId="3" applyBorder="1"/>
    <xf numFmtId="0" fontId="1" fillId="3" borderId="2" xfId="3" applyBorder="1"/>
    <xf numFmtId="164" fontId="1" fillId="3" borderId="2" xfId="3" applyNumberFormat="1" applyBorder="1"/>
    <xf numFmtId="2" fontId="1" fillId="3" borderId="2" xfId="3" applyNumberFormat="1" applyBorder="1"/>
    <xf numFmtId="164" fontId="0" fillId="0" borderId="0" xfId="0" applyNumberFormat="1"/>
  </cellXfs>
  <cellStyles count="4">
    <cellStyle name="40% - Accent1" xfId="3" builtinId="31"/>
    <cellStyle name="Heading 2" xfId="1" builtinId="17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B380-A448-4E39-BE8E-883F52102476}">
  <dimension ref="A1:S22"/>
  <sheetViews>
    <sheetView tabSelected="1" topLeftCell="G1" workbookViewId="0">
      <selection activeCell="M20" sqref="M20"/>
    </sheetView>
  </sheetViews>
  <sheetFormatPr defaultRowHeight="14.4" x14ac:dyDescent="0.3"/>
  <cols>
    <col min="1" max="1" width="11.109375" customWidth="1"/>
    <col min="2" max="2" width="29.5546875" customWidth="1"/>
    <col min="3" max="3" width="26.33203125" customWidth="1"/>
    <col min="4" max="4" width="16.33203125" customWidth="1"/>
    <col min="5" max="5" width="25.33203125" customWidth="1"/>
    <col min="6" max="6" width="8.6640625" customWidth="1"/>
    <col min="7" max="7" width="23.109375" customWidth="1"/>
    <col min="8" max="8" width="15.77734375" customWidth="1"/>
    <col min="9" max="10" width="19.77734375" customWidth="1"/>
    <col min="11" max="11" width="22.88671875" customWidth="1"/>
    <col min="12" max="13" width="22.44140625" customWidth="1"/>
    <col min="14" max="14" width="23.77734375" customWidth="1"/>
    <col min="15" max="15" width="13.88671875" customWidth="1"/>
    <col min="16" max="16" width="17" customWidth="1"/>
    <col min="17" max="17" width="23.33203125" customWidth="1"/>
    <col min="18" max="18" width="31.5546875" customWidth="1"/>
    <col min="19" max="19" width="11.6640625" bestFit="1" customWidth="1"/>
  </cols>
  <sheetData>
    <row r="1" spans="1:19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18" thickBot="1" x14ac:dyDescent="0.4">
      <c r="A2" s="6"/>
      <c r="B2" s="1" t="s">
        <v>8</v>
      </c>
      <c r="C2" s="1" t="s">
        <v>2</v>
      </c>
      <c r="D2" s="1" t="s">
        <v>1</v>
      </c>
      <c r="E2" s="1" t="s">
        <v>2</v>
      </c>
      <c r="F2" s="1" t="s">
        <v>5</v>
      </c>
      <c r="G2" s="1" t="s">
        <v>2</v>
      </c>
      <c r="H2" s="1" t="s">
        <v>6</v>
      </c>
      <c r="I2" s="1" t="s">
        <v>9</v>
      </c>
      <c r="J2" s="1" t="s">
        <v>10</v>
      </c>
      <c r="K2" s="1" t="s">
        <v>2</v>
      </c>
      <c r="L2" s="1" t="s">
        <v>12</v>
      </c>
      <c r="M2" s="1" t="s">
        <v>11</v>
      </c>
      <c r="N2" s="1" t="s">
        <v>2</v>
      </c>
      <c r="O2" s="1" t="s">
        <v>0</v>
      </c>
      <c r="P2" s="1" t="s">
        <v>13</v>
      </c>
      <c r="Q2" s="1" t="s">
        <v>14</v>
      </c>
      <c r="R2" s="1" t="s">
        <v>15</v>
      </c>
      <c r="S2" s="1" t="s">
        <v>7</v>
      </c>
    </row>
    <row r="3" spans="1:19" ht="15" thickTop="1" x14ac:dyDescent="0.3">
      <c r="A3" s="5"/>
      <c r="B3" s="2">
        <v>2000</v>
      </c>
      <c r="C3" s="2">
        <v>50</v>
      </c>
      <c r="D3" s="2">
        <v>2000</v>
      </c>
      <c r="E3" s="2">
        <v>50</v>
      </c>
      <c r="F3" s="2">
        <v>850</v>
      </c>
      <c r="G3" s="2">
        <v>50</v>
      </c>
      <c r="H3" s="2">
        <v>17135</v>
      </c>
      <c r="I3" s="2">
        <v>4211</v>
      </c>
      <c r="J3" s="2">
        <v>1800</v>
      </c>
      <c r="K3" s="2">
        <v>50</v>
      </c>
      <c r="L3" s="2">
        <v>11300</v>
      </c>
      <c r="M3" s="2">
        <v>2000</v>
      </c>
      <c r="N3" s="2">
        <v>50</v>
      </c>
      <c r="O3" s="2">
        <v>14500</v>
      </c>
      <c r="P3" s="2">
        <v>550</v>
      </c>
      <c r="Q3" s="2">
        <v>50</v>
      </c>
      <c r="R3" s="2">
        <v>1200</v>
      </c>
      <c r="S3" s="7"/>
    </row>
    <row r="4" spans="1:19" x14ac:dyDescent="0.3">
      <c r="A4" s="5"/>
      <c r="B4" s="2">
        <v>2000</v>
      </c>
      <c r="C4" s="2">
        <v>50</v>
      </c>
      <c r="D4" s="2">
        <v>2000</v>
      </c>
      <c r="E4" s="2">
        <v>50</v>
      </c>
      <c r="F4" s="2">
        <v>850</v>
      </c>
      <c r="G4" s="2">
        <v>50</v>
      </c>
      <c r="H4" s="2">
        <v>17140</v>
      </c>
      <c r="I4" s="2">
        <v>2632</v>
      </c>
      <c r="J4" s="2"/>
      <c r="K4" s="2"/>
      <c r="L4" s="2"/>
      <c r="M4" s="2">
        <v>2000</v>
      </c>
      <c r="N4" s="2">
        <v>50</v>
      </c>
      <c r="O4" s="2">
        <v>12000</v>
      </c>
      <c r="P4" s="2">
        <v>60</v>
      </c>
      <c r="Q4" s="3"/>
      <c r="R4" s="2">
        <v>1800</v>
      </c>
      <c r="S4" s="7"/>
    </row>
    <row r="5" spans="1:19" x14ac:dyDescent="0.3">
      <c r="A5" s="5"/>
      <c r="B5" s="2">
        <v>2000</v>
      </c>
      <c r="C5" s="2">
        <v>50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2">
        <v>650</v>
      </c>
      <c r="Q5" s="3"/>
      <c r="R5" s="2">
        <v>450</v>
      </c>
      <c r="S5" s="7"/>
    </row>
    <row r="6" spans="1:19" x14ac:dyDescent="0.3">
      <c r="A6" s="5"/>
      <c r="B6" s="2">
        <v>600</v>
      </c>
      <c r="C6" s="2">
        <v>50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2"/>
      <c r="Q6" s="3"/>
      <c r="R6" s="3"/>
      <c r="S6" s="7"/>
    </row>
    <row r="7" spans="1:19" x14ac:dyDescent="0.3">
      <c r="A7" s="5"/>
      <c r="B7" s="2">
        <v>2000</v>
      </c>
      <c r="C7" s="2">
        <v>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7"/>
    </row>
    <row r="8" spans="1:19" x14ac:dyDescent="0.3">
      <c r="A8" s="5"/>
      <c r="B8" s="2">
        <v>900</v>
      </c>
      <c r="C8" s="2">
        <v>50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7"/>
    </row>
    <row r="9" spans="1:19" x14ac:dyDescent="0.3">
      <c r="A9" s="5"/>
      <c r="B9" s="2">
        <v>475</v>
      </c>
      <c r="C9" s="2">
        <v>50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7"/>
    </row>
    <row r="10" spans="1:19" x14ac:dyDescent="0.3">
      <c r="A10" s="5"/>
      <c r="B10" s="2">
        <v>200</v>
      </c>
      <c r="C10" s="2">
        <v>50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7"/>
    </row>
    <row r="11" spans="1:19" x14ac:dyDescent="0.3">
      <c r="A11" s="5"/>
      <c r="B11" s="2">
        <v>222</v>
      </c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7"/>
    </row>
    <row r="12" spans="1:19" x14ac:dyDescent="0.3">
      <c r="A12" s="5"/>
      <c r="B12" s="2">
        <v>2500</v>
      </c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7"/>
    </row>
    <row r="13" spans="1:19" x14ac:dyDescent="0.3">
      <c r="A13" s="5"/>
      <c r="B13" s="2">
        <v>2500</v>
      </c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7"/>
    </row>
    <row r="14" spans="1:19" x14ac:dyDescent="0.3">
      <c r="A14" s="5"/>
      <c r="B14" s="2">
        <v>2500</v>
      </c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7"/>
    </row>
    <row r="15" spans="1:19" x14ac:dyDescent="0.3">
      <c r="A15" s="5"/>
      <c r="B15" s="2">
        <v>2500</v>
      </c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7"/>
    </row>
    <row r="16" spans="1:19" x14ac:dyDescent="0.3">
      <c r="A16" s="5" t="s">
        <v>4</v>
      </c>
      <c r="B16" s="2">
        <f>SUM(B3:B15)</f>
        <v>20397</v>
      </c>
      <c r="C16" s="2">
        <f>SUM(C3:C13)</f>
        <v>400</v>
      </c>
      <c r="D16" s="2">
        <f t="shared" ref="D16:R16" si="0">SUM(D3:D13)</f>
        <v>4000</v>
      </c>
      <c r="E16" s="2">
        <f t="shared" si="0"/>
        <v>100</v>
      </c>
      <c r="F16" s="2">
        <f>SUM(F3:F15)</f>
        <v>1700</v>
      </c>
      <c r="G16" s="2">
        <f t="shared" si="0"/>
        <v>100</v>
      </c>
      <c r="H16" s="2">
        <f t="shared" si="0"/>
        <v>34275</v>
      </c>
      <c r="I16" s="2">
        <f t="shared" si="0"/>
        <v>6843</v>
      </c>
      <c r="J16" s="2">
        <f t="shared" si="0"/>
        <v>1800</v>
      </c>
      <c r="K16" s="2">
        <f t="shared" si="0"/>
        <v>50</v>
      </c>
      <c r="L16" s="2">
        <f t="shared" si="0"/>
        <v>11300</v>
      </c>
      <c r="M16" s="2">
        <f t="shared" si="0"/>
        <v>4000</v>
      </c>
      <c r="N16" s="2">
        <f t="shared" si="0"/>
        <v>100</v>
      </c>
      <c r="O16" s="2">
        <f t="shared" si="0"/>
        <v>26500</v>
      </c>
      <c r="P16" s="2">
        <f t="shared" si="0"/>
        <v>1260</v>
      </c>
      <c r="Q16" s="2">
        <f t="shared" si="0"/>
        <v>50</v>
      </c>
      <c r="R16" s="2">
        <f t="shared" si="0"/>
        <v>3450</v>
      </c>
      <c r="S16" s="8">
        <f>SUM(B16:R16)</f>
        <v>116325</v>
      </c>
    </row>
    <row r="17" spans="1:19" x14ac:dyDescent="0.3">
      <c r="A17" s="5" t="s">
        <v>3</v>
      </c>
      <c r="B17" s="4">
        <f>B16*3.8</f>
        <v>77508.599999999991</v>
      </c>
      <c r="C17" s="4">
        <f>C16*3.8</f>
        <v>1520</v>
      </c>
      <c r="D17" s="4">
        <f t="shared" ref="D17:R17" si="1">D16*3.8</f>
        <v>15200</v>
      </c>
      <c r="E17" s="4">
        <f t="shared" si="1"/>
        <v>380</v>
      </c>
      <c r="F17" s="4">
        <f t="shared" si="1"/>
        <v>6460</v>
      </c>
      <c r="G17" s="4">
        <f t="shared" si="1"/>
        <v>380</v>
      </c>
      <c r="H17" s="4">
        <f t="shared" si="1"/>
        <v>130245</v>
      </c>
      <c r="I17" s="4">
        <f>I16*3.8</f>
        <v>26003.399999999998</v>
      </c>
      <c r="J17" s="4">
        <f t="shared" ref="J17:N17" si="2">J16*3.8</f>
        <v>6840</v>
      </c>
      <c r="K17" s="4">
        <f t="shared" si="2"/>
        <v>190</v>
      </c>
      <c r="L17" s="4">
        <f t="shared" si="2"/>
        <v>42940</v>
      </c>
      <c r="M17" s="4">
        <f t="shared" si="2"/>
        <v>15200</v>
      </c>
      <c r="N17" s="4">
        <f t="shared" si="2"/>
        <v>380</v>
      </c>
      <c r="O17" s="4">
        <f t="shared" si="1"/>
        <v>100700</v>
      </c>
      <c r="P17" s="4">
        <f t="shared" si="1"/>
        <v>4788</v>
      </c>
      <c r="Q17" s="4">
        <f t="shared" si="1"/>
        <v>190</v>
      </c>
      <c r="R17" s="4">
        <f t="shared" si="1"/>
        <v>13110</v>
      </c>
      <c r="S17" s="9">
        <f>SUM(B17:R17)</f>
        <v>442035</v>
      </c>
    </row>
    <row r="19" spans="1:19" x14ac:dyDescent="0.3">
      <c r="M19" s="10"/>
      <c r="O19" s="10"/>
    </row>
    <row r="20" spans="1:19" x14ac:dyDescent="0.3">
      <c r="I20" s="10"/>
      <c r="M20" s="10"/>
      <c r="O20" s="10"/>
      <c r="P20" s="10"/>
    </row>
    <row r="21" spans="1:19" x14ac:dyDescent="0.3">
      <c r="I21" s="10"/>
      <c r="M21" s="10"/>
      <c r="N21" s="10"/>
    </row>
    <row r="22" spans="1:19" x14ac:dyDescent="0.3">
      <c r="N22" s="10"/>
    </row>
  </sheetData>
  <pageMargins left="0.7" right="0.7" top="0.75" bottom="0.75" header="0.3" footer="0.3"/>
  <ignoredErrors>
    <ignoredError sqref="F1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Jose De Sousa Junior</dc:creator>
  <cp:lastModifiedBy>Luis Jose De Sousa Junior</cp:lastModifiedBy>
  <dcterms:created xsi:type="dcterms:W3CDTF">2025-03-05T17:05:44Z</dcterms:created>
  <dcterms:modified xsi:type="dcterms:W3CDTF">2025-04-02T16:51:28Z</dcterms:modified>
</cp:coreProperties>
</file>